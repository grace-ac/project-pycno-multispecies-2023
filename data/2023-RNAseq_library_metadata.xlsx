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raciecrandall/Documents/GitHub/project-pycno-multispecies-2023/data/"/>
    </mc:Choice>
  </mc:AlternateContent>
  <xr:revisionPtr revIDLastSave="0" documentId="8_{7691AC6F-AF4A-EF47-968B-25E243F07A73}" xr6:coauthVersionLast="45" xr6:coauthVersionMax="45" xr10:uidLastSave="{00000000-0000-0000-0000-000000000000}"/>
  <bookViews>
    <workbookView xWindow="0" yWindow="500" windowWidth="38400" windowHeight="20080" xr2:uid="{00000000-000D-0000-FFFF-FFFF00000000}"/>
  </bookViews>
  <sheets>
    <sheet name="day12_samples" sheetId="2" r:id="rId1"/>
  </sheets>
  <definedNames>
    <definedName name="_xlnm._FilterDatabase" localSheetId="0" hidden="1">day12_samples!$A$1:$Y$997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9" i="2" l="1"/>
  <c r="P19" i="2" s="1"/>
  <c r="L18" i="2"/>
  <c r="P18" i="2" s="1"/>
  <c r="L17" i="2"/>
  <c r="P17" i="2" s="1"/>
  <c r="L16" i="2"/>
  <c r="P16" i="2" s="1"/>
  <c r="L15" i="2"/>
  <c r="P15" i="2" s="1"/>
  <c r="L14" i="2"/>
  <c r="P14" i="2" s="1"/>
  <c r="L13" i="2"/>
  <c r="P13" i="2" s="1"/>
  <c r="L12" i="2"/>
  <c r="P12" i="2" s="1"/>
  <c r="L11" i="2"/>
  <c r="P11" i="2" s="1"/>
  <c r="L10" i="2"/>
  <c r="P10" i="2" s="1"/>
  <c r="L9" i="2"/>
  <c r="P9" i="2" s="1"/>
  <c r="L8" i="2"/>
  <c r="P8" i="2" s="1"/>
  <c r="L7" i="2"/>
  <c r="P7" i="2" s="1"/>
  <c r="L6" i="2"/>
  <c r="P6" i="2" s="1"/>
  <c r="L5" i="2"/>
  <c r="P5" i="2" s="1"/>
  <c r="L4" i="2"/>
  <c r="P4" i="2" s="1"/>
  <c r="L3" i="2"/>
  <c r="P3" i="2" s="1"/>
  <c r="P2" i="2"/>
  <c r="L2" i="2"/>
</calcChain>
</file>

<file path=xl/sharedStrings.xml><?xml version="1.0" encoding="utf-8"?>
<sst xmlns="http://schemas.openxmlformats.org/spreadsheetml/2006/main" count="73" uniqueCount="23">
  <si>
    <t>sample_ID_PSC</t>
  </si>
  <si>
    <t>species</t>
  </si>
  <si>
    <t>experiment</t>
  </si>
  <si>
    <t>treatment</t>
  </si>
  <si>
    <t>experiment_day</t>
  </si>
  <si>
    <t>bin_number</t>
  </si>
  <si>
    <t>sample_date</t>
  </si>
  <si>
    <t>extraction_date</t>
  </si>
  <si>
    <t>eluted_vol_ul</t>
  </si>
  <si>
    <t>qubit_date</t>
  </si>
  <si>
    <t>ul_sample_for_qubit</t>
  </si>
  <si>
    <t>final_sample_vol</t>
  </si>
  <si>
    <t>qubit_result_ng.uL</t>
  </si>
  <si>
    <t>qubit_standard_1</t>
  </si>
  <si>
    <t>qubit_standard_2</t>
  </si>
  <si>
    <t>total_RNA_in_remaining_sample</t>
  </si>
  <si>
    <t>notes</t>
  </si>
  <si>
    <t>pycnopodia_helianthoides</t>
  </si>
  <si>
    <t>multispecies</t>
  </si>
  <si>
    <t>dermasterias_imbricata</t>
  </si>
  <si>
    <t>pisaster_ochraceus</t>
  </si>
  <si>
    <t>exposed</t>
  </si>
  <si>
    <t>some brown tissue in samples; at p.8 step 4, slightly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</si>
</sst>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9"/>
  <sheetViews>
    <sheetView tabSelected="1" workbookViewId="0">
      <selection activeCell="C6" sqref="C6"/>
    </sheetView>
  </sheetViews>
  <sheetFormatPr baseColWidth="10" defaultColWidth="12.6640625" defaultRowHeight="15.75" customHeight="1"/>
  <sheetData>
    <row r="1" spans="1:17" ht="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3">
      <c r="A2" s="1">
        <v>517</v>
      </c>
      <c r="B2" s="1" t="s">
        <v>19</v>
      </c>
      <c r="C2" s="1" t="s">
        <v>18</v>
      </c>
      <c r="D2" s="1" t="s">
        <v>21</v>
      </c>
      <c r="E2" s="3">
        <v>12</v>
      </c>
      <c r="F2" s="3">
        <v>1</v>
      </c>
      <c r="G2" s="4">
        <v>45140</v>
      </c>
      <c r="H2" s="4">
        <v>45449</v>
      </c>
      <c r="I2" s="3">
        <v>15</v>
      </c>
      <c r="J2" s="4">
        <v>45449</v>
      </c>
      <c r="K2" s="3">
        <v>1</v>
      </c>
      <c r="L2" s="3">
        <f t="shared" ref="L2:L19" si="0">I2-K2</f>
        <v>14</v>
      </c>
      <c r="M2" s="3">
        <v>25.6</v>
      </c>
      <c r="N2" s="3">
        <v>78.91</v>
      </c>
      <c r="O2" s="3">
        <v>1347.2</v>
      </c>
      <c r="P2" s="3">
        <f t="shared" ref="P2:P19" si="1">M2*L2</f>
        <v>358.40000000000003</v>
      </c>
      <c r="Q2" s="1"/>
    </row>
    <row r="3" spans="1:17" ht="13">
      <c r="A3" s="1">
        <v>518</v>
      </c>
      <c r="B3" s="1" t="s">
        <v>20</v>
      </c>
      <c r="C3" s="1" t="s">
        <v>18</v>
      </c>
      <c r="D3" s="1" t="s">
        <v>21</v>
      </c>
      <c r="E3" s="3">
        <v>12</v>
      </c>
      <c r="F3" s="3">
        <v>1</v>
      </c>
      <c r="G3" s="4">
        <v>45140</v>
      </c>
      <c r="H3" s="4">
        <v>45449</v>
      </c>
      <c r="I3" s="3">
        <v>15</v>
      </c>
      <c r="J3" s="4">
        <v>45449</v>
      </c>
      <c r="K3" s="3">
        <v>1</v>
      </c>
      <c r="L3" s="3">
        <f t="shared" si="0"/>
        <v>14</v>
      </c>
      <c r="M3" s="3">
        <v>188</v>
      </c>
      <c r="N3" s="3">
        <v>78.91</v>
      </c>
      <c r="O3" s="3">
        <v>1347.2</v>
      </c>
      <c r="P3" s="3">
        <f t="shared" si="1"/>
        <v>2632</v>
      </c>
      <c r="Q3" s="5" t="s">
        <v>22</v>
      </c>
    </row>
    <row r="4" spans="1:17" ht="13">
      <c r="A4" s="1">
        <v>519</v>
      </c>
      <c r="B4" s="1" t="s">
        <v>17</v>
      </c>
      <c r="C4" s="1" t="s">
        <v>18</v>
      </c>
      <c r="D4" s="1" t="s">
        <v>21</v>
      </c>
      <c r="E4" s="3">
        <v>12</v>
      </c>
      <c r="F4" s="3">
        <v>1</v>
      </c>
      <c r="G4" s="4">
        <v>45140</v>
      </c>
      <c r="H4" s="4">
        <v>45449</v>
      </c>
      <c r="I4" s="3">
        <v>15</v>
      </c>
      <c r="J4" s="4">
        <v>45449</v>
      </c>
      <c r="K4" s="3">
        <v>1</v>
      </c>
      <c r="L4" s="3">
        <f t="shared" si="0"/>
        <v>14</v>
      </c>
      <c r="M4" s="3">
        <v>51.2</v>
      </c>
      <c r="N4" s="3">
        <v>78.91</v>
      </c>
      <c r="O4" s="3">
        <v>1347.2</v>
      </c>
      <c r="P4" s="3">
        <f t="shared" si="1"/>
        <v>716.80000000000007</v>
      </c>
      <c r="Q4" s="1"/>
    </row>
    <row r="5" spans="1:17" ht="13">
      <c r="A5" s="1">
        <v>523</v>
      </c>
      <c r="B5" s="1" t="s">
        <v>19</v>
      </c>
      <c r="C5" s="1" t="s">
        <v>18</v>
      </c>
      <c r="D5" s="1" t="s">
        <v>21</v>
      </c>
      <c r="E5" s="3">
        <v>12</v>
      </c>
      <c r="F5" s="3">
        <v>2</v>
      </c>
      <c r="G5" s="4">
        <v>45140</v>
      </c>
      <c r="H5" s="4">
        <v>45449</v>
      </c>
      <c r="I5" s="3">
        <v>15</v>
      </c>
      <c r="J5" s="4">
        <v>45449</v>
      </c>
      <c r="K5" s="3">
        <v>1</v>
      </c>
      <c r="L5" s="3">
        <f t="shared" si="0"/>
        <v>14</v>
      </c>
      <c r="M5" s="3">
        <v>5.3</v>
      </c>
      <c r="N5" s="3">
        <v>78.91</v>
      </c>
      <c r="O5" s="3">
        <v>1347.2</v>
      </c>
      <c r="P5" s="6">
        <f t="shared" si="1"/>
        <v>74.2</v>
      </c>
      <c r="Q5" s="1"/>
    </row>
    <row r="6" spans="1:17" ht="13">
      <c r="A6" s="1">
        <v>524</v>
      </c>
      <c r="B6" s="1" t="s">
        <v>20</v>
      </c>
      <c r="C6" s="1" t="s">
        <v>18</v>
      </c>
      <c r="D6" s="1" t="s">
        <v>21</v>
      </c>
      <c r="E6" s="3">
        <v>12</v>
      </c>
      <c r="F6" s="3">
        <v>2</v>
      </c>
      <c r="G6" s="4">
        <v>45140</v>
      </c>
      <c r="H6" s="4">
        <v>45449</v>
      </c>
      <c r="I6" s="3">
        <v>15</v>
      </c>
      <c r="J6" s="4">
        <v>45449</v>
      </c>
      <c r="K6" s="3">
        <v>1</v>
      </c>
      <c r="L6" s="3">
        <f t="shared" si="0"/>
        <v>14</v>
      </c>
      <c r="M6" s="3">
        <v>77.8</v>
      </c>
      <c r="N6" s="3">
        <v>78.91</v>
      </c>
      <c r="O6" s="3">
        <v>1347.2</v>
      </c>
      <c r="P6" s="3">
        <f t="shared" si="1"/>
        <v>1089.2</v>
      </c>
      <c r="Q6" s="1"/>
    </row>
    <row r="7" spans="1:17" ht="13">
      <c r="A7" s="1">
        <v>525</v>
      </c>
      <c r="B7" s="1" t="s">
        <v>17</v>
      </c>
      <c r="C7" s="1" t="s">
        <v>18</v>
      </c>
      <c r="D7" s="1" t="s">
        <v>21</v>
      </c>
      <c r="E7" s="3">
        <v>12</v>
      </c>
      <c r="F7" s="3">
        <v>2</v>
      </c>
      <c r="G7" s="4">
        <v>45140</v>
      </c>
      <c r="H7" s="4">
        <v>45449</v>
      </c>
      <c r="I7" s="3">
        <v>15</v>
      </c>
      <c r="J7" s="4">
        <v>45449</v>
      </c>
      <c r="K7" s="3">
        <v>1</v>
      </c>
      <c r="L7" s="3">
        <f t="shared" si="0"/>
        <v>14</v>
      </c>
      <c r="M7" s="3">
        <v>106</v>
      </c>
      <c r="N7" s="3">
        <v>78.91</v>
      </c>
      <c r="O7" s="3">
        <v>1347.2</v>
      </c>
      <c r="P7" s="3">
        <f t="shared" si="1"/>
        <v>1484</v>
      </c>
      <c r="Q7" s="1"/>
    </row>
    <row r="8" spans="1:17" ht="13">
      <c r="A8" s="1">
        <v>529</v>
      </c>
      <c r="B8" s="1" t="s">
        <v>19</v>
      </c>
      <c r="C8" s="1" t="s">
        <v>18</v>
      </c>
      <c r="D8" s="1" t="s">
        <v>21</v>
      </c>
      <c r="E8" s="3">
        <v>12</v>
      </c>
      <c r="F8" s="3">
        <v>3</v>
      </c>
      <c r="G8" s="4">
        <v>45140</v>
      </c>
      <c r="H8" s="4">
        <v>45449</v>
      </c>
      <c r="I8" s="3">
        <v>15</v>
      </c>
      <c r="J8" s="4">
        <v>45449</v>
      </c>
      <c r="K8" s="3">
        <v>1</v>
      </c>
      <c r="L8" s="3">
        <f t="shared" si="0"/>
        <v>14</v>
      </c>
      <c r="M8" s="3">
        <v>12.4</v>
      </c>
      <c r="N8" s="3">
        <v>78.91</v>
      </c>
      <c r="O8" s="3">
        <v>1347.2</v>
      </c>
      <c r="P8" s="3">
        <f t="shared" si="1"/>
        <v>173.6</v>
      </c>
      <c r="Q8" s="1"/>
    </row>
    <row r="9" spans="1:17" ht="13">
      <c r="A9" s="1">
        <v>530</v>
      </c>
      <c r="B9" s="1" t="s">
        <v>20</v>
      </c>
      <c r="C9" s="1" t="s">
        <v>18</v>
      </c>
      <c r="D9" s="1" t="s">
        <v>21</v>
      </c>
      <c r="E9" s="3">
        <v>12</v>
      </c>
      <c r="F9" s="3">
        <v>3</v>
      </c>
      <c r="G9" s="4">
        <v>45140</v>
      </c>
      <c r="H9" s="4">
        <v>45449</v>
      </c>
      <c r="I9" s="3">
        <v>15</v>
      </c>
      <c r="J9" s="4">
        <v>45449</v>
      </c>
      <c r="K9" s="3">
        <v>1</v>
      </c>
      <c r="L9" s="3">
        <f t="shared" si="0"/>
        <v>14</v>
      </c>
      <c r="M9" s="3">
        <v>112</v>
      </c>
      <c r="N9" s="3">
        <v>78.91</v>
      </c>
      <c r="O9" s="3">
        <v>1347.2</v>
      </c>
      <c r="P9" s="3">
        <f t="shared" si="1"/>
        <v>1568</v>
      </c>
      <c r="Q9" s="1"/>
    </row>
    <row r="10" spans="1:17" ht="13">
      <c r="A10" s="1">
        <v>531</v>
      </c>
      <c r="B10" s="1" t="s">
        <v>17</v>
      </c>
      <c r="C10" s="1" t="s">
        <v>18</v>
      </c>
      <c r="D10" s="1" t="s">
        <v>21</v>
      </c>
      <c r="E10" s="3">
        <v>12</v>
      </c>
      <c r="F10" s="3">
        <v>3</v>
      </c>
      <c r="G10" s="4">
        <v>45140</v>
      </c>
      <c r="H10" s="4">
        <v>45449</v>
      </c>
      <c r="I10" s="3">
        <v>15</v>
      </c>
      <c r="J10" s="4">
        <v>45449</v>
      </c>
      <c r="K10" s="3">
        <v>1</v>
      </c>
      <c r="L10" s="3">
        <f t="shared" si="0"/>
        <v>14</v>
      </c>
      <c r="M10" s="3">
        <v>126</v>
      </c>
      <c r="N10" s="3">
        <v>78.91</v>
      </c>
      <c r="O10" s="3">
        <v>1347.2</v>
      </c>
      <c r="P10" s="3">
        <f t="shared" si="1"/>
        <v>1764</v>
      </c>
      <c r="Q10" s="1"/>
    </row>
    <row r="11" spans="1:17" ht="13">
      <c r="A11" s="1">
        <v>535</v>
      </c>
      <c r="B11" s="1" t="s">
        <v>19</v>
      </c>
      <c r="C11" s="1" t="s">
        <v>18</v>
      </c>
      <c r="D11" s="1" t="s">
        <v>21</v>
      </c>
      <c r="E11" s="3">
        <v>12</v>
      </c>
      <c r="F11" s="3">
        <v>4</v>
      </c>
      <c r="G11" s="4">
        <v>45140</v>
      </c>
      <c r="H11" s="4">
        <v>45449</v>
      </c>
      <c r="I11" s="3">
        <v>15</v>
      </c>
      <c r="J11" s="4">
        <v>45449</v>
      </c>
      <c r="K11" s="3">
        <v>1</v>
      </c>
      <c r="L11" s="3">
        <f t="shared" si="0"/>
        <v>14</v>
      </c>
      <c r="M11" s="3">
        <v>37.799999999999997</v>
      </c>
      <c r="N11" s="3">
        <v>78.91</v>
      </c>
      <c r="O11" s="3">
        <v>1347.2</v>
      </c>
      <c r="P11" s="3">
        <f t="shared" si="1"/>
        <v>529.19999999999993</v>
      </c>
      <c r="Q11" s="1"/>
    </row>
    <row r="12" spans="1:17" ht="13">
      <c r="A12" s="1">
        <v>536</v>
      </c>
      <c r="B12" s="1" t="s">
        <v>20</v>
      </c>
      <c r="C12" s="1" t="s">
        <v>18</v>
      </c>
      <c r="D12" s="1" t="s">
        <v>21</v>
      </c>
      <c r="E12" s="3">
        <v>12</v>
      </c>
      <c r="F12" s="3">
        <v>4</v>
      </c>
      <c r="G12" s="4">
        <v>45140</v>
      </c>
      <c r="H12" s="4">
        <v>45449</v>
      </c>
      <c r="I12" s="3">
        <v>15</v>
      </c>
      <c r="J12" s="4">
        <v>45449</v>
      </c>
      <c r="K12" s="3">
        <v>1</v>
      </c>
      <c r="L12" s="3">
        <f t="shared" si="0"/>
        <v>14</v>
      </c>
      <c r="M12" s="3">
        <v>118</v>
      </c>
      <c r="N12" s="3">
        <v>78.91</v>
      </c>
      <c r="O12" s="3">
        <v>1347.2</v>
      </c>
      <c r="P12" s="3">
        <f t="shared" si="1"/>
        <v>1652</v>
      </c>
      <c r="Q12" s="5" t="s">
        <v>22</v>
      </c>
    </row>
    <row r="13" spans="1:17" ht="13">
      <c r="A13" s="1">
        <v>537</v>
      </c>
      <c r="B13" s="1" t="s">
        <v>17</v>
      </c>
      <c r="C13" s="1" t="s">
        <v>18</v>
      </c>
      <c r="D13" s="1" t="s">
        <v>21</v>
      </c>
      <c r="E13" s="3">
        <v>12</v>
      </c>
      <c r="F13" s="3">
        <v>4</v>
      </c>
      <c r="G13" s="4">
        <v>45140</v>
      </c>
      <c r="H13" s="4">
        <v>45450</v>
      </c>
      <c r="I13" s="3">
        <v>15</v>
      </c>
      <c r="J13" s="4">
        <v>45450</v>
      </c>
      <c r="K13" s="3">
        <v>1</v>
      </c>
      <c r="L13" s="3">
        <f t="shared" si="0"/>
        <v>14</v>
      </c>
      <c r="M13" s="3">
        <v>184</v>
      </c>
      <c r="N13" s="3">
        <v>79.790000000000006</v>
      </c>
      <c r="O13" s="3">
        <v>1422.14</v>
      </c>
      <c r="P13" s="3">
        <f t="shared" si="1"/>
        <v>2576</v>
      </c>
      <c r="Q13" s="1"/>
    </row>
    <row r="14" spans="1:17" ht="13">
      <c r="A14" s="1">
        <v>547</v>
      </c>
      <c r="B14" s="1" t="s">
        <v>19</v>
      </c>
      <c r="C14" s="1" t="s">
        <v>18</v>
      </c>
      <c r="D14" s="1" t="s">
        <v>21</v>
      </c>
      <c r="E14" s="3">
        <v>12</v>
      </c>
      <c r="F14" s="3">
        <v>6</v>
      </c>
      <c r="G14" s="4">
        <v>45140</v>
      </c>
      <c r="H14" s="4">
        <v>45450</v>
      </c>
      <c r="I14" s="3">
        <v>15</v>
      </c>
      <c r="J14" s="4">
        <v>45450</v>
      </c>
      <c r="K14" s="3">
        <v>1</v>
      </c>
      <c r="L14" s="3">
        <f t="shared" si="0"/>
        <v>14</v>
      </c>
      <c r="M14" s="3">
        <v>46.2</v>
      </c>
      <c r="N14" s="3">
        <v>79.790000000000006</v>
      </c>
      <c r="O14" s="3">
        <v>1422.14</v>
      </c>
      <c r="P14" s="3">
        <f t="shared" si="1"/>
        <v>646.80000000000007</v>
      </c>
      <c r="Q14" s="1"/>
    </row>
    <row r="15" spans="1:17" ht="13">
      <c r="A15" s="1">
        <v>548</v>
      </c>
      <c r="B15" s="1" t="s">
        <v>20</v>
      </c>
      <c r="C15" s="1" t="s">
        <v>18</v>
      </c>
      <c r="D15" s="1" t="s">
        <v>21</v>
      </c>
      <c r="E15" s="3">
        <v>12</v>
      </c>
      <c r="F15" s="3">
        <v>6</v>
      </c>
      <c r="G15" s="4">
        <v>45140</v>
      </c>
      <c r="H15" s="4">
        <v>45450</v>
      </c>
      <c r="I15" s="3">
        <v>15</v>
      </c>
      <c r="J15" s="4">
        <v>45450</v>
      </c>
      <c r="K15" s="3">
        <v>1</v>
      </c>
      <c r="L15" s="3">
        <f t="shared" si="0"/>
        <v>14</v>
      </c>
      <c r="M15" s="3">
        <v>34.4</v>
      </c>
      <c r="N15" s="3">
        <v>79.790000000000006</v>
      </c>
      <c r="O15" s="3">
        <v>1422.14</v>
      </c>
      <c r="P15" s="3">
        <f t="shared" si="1"/>
        <v>481.59999999999997</v>
      </c>
      <c r="Q15" s="1"/>
    </row>
    <row r="16" spans="1:17" ht="13">
      <c r="A16" s="1">
        <v>549</v>
      </c>
      <c r="B16" s="1" t="s">
        <v>17</v>
      </c>
      <c r="C16" s="1" t="s">
        <v>18</v>
      </c>
      <c r="D16" s="1" t="s">
        <v>21</v>
      </c>
      <c r="E16" s="3">
        <v>12</v>
      </c>
      <c r="F16" s="3">
        <v>6</v>
      </c>
      <c r="G16" s="4">
        <v>45140</v>
      </c>
      <c r="H16" s="4">
        <v>45450</v>
      </c>
      <c r="I16" s="3">
        <v>15</v>
      </c>
      <c r="J16" s="4">
        <v>45450</v>
      </c>
      <c r="K16" s="3">
        <v>1</v>
      </c>
      <c r="L16" s="3">
        <f t="shared" si="0"/>
        <v>14</v>
      </c>
      <c r="M16" s="3">
        <v>59.4</v>
      </c>
      <c r="N16" s="3">
        <v>79.790000000000006</v>
      </c>
      <c r="O16" s="3">
        <v>1422.14</v>
      </c>
      <c r="P16" s="3">
        <f t="shared" si="1"/>
        <v>831.6</v>
      </c>
      <c r="Q16" s="1"/>
    </row>
    <row r="17" spans="1:17" ht="13">
      <c r="A17" s="1">
        <v>559</v>
      </c>
      <c r="B17" s="1" t="s">
        <v>19</v>
      </c>
      <c r="C17" s="1" t="s">
        <v>18</v>
      </c>
      <c r="D17" s="1" t="s">
        <v>21</v>
      </c>
      <c r="E17" s="3">
        <v>12</v>
      </c>
      <c r="F17" s="3">
        <v>8</v>
      </c>
      <c r="G17" s="4">
        <v>45140</v>
      </c>
      <c r="H17" s="4">
        <v>45450</v>
      </c>
      <c r="I17" s="3">
        <v>15</v>
      </c>
      <c r="J17" s="4">
        <v>45450</v>
      </c>
      <c r="K17" s="3">
        <v>1</v>
      </c>
      <c r="L17" s="3">
        <f t="shared" si="0"/>
        <v>14</v>
      </c>
      <c r="M17" s="3">
        <v>118</v>
      </c>
      <c r="N17" s="3">
        <v>79.790000000000006</v>
      </c>
      <c r="O17" s="3">
        <v>1422.14</v>
      </c>
      <c r="P17" s="3">
        <f t="shared" si="1"/>
        <v>1652</v>
      </c>
      <c r="Q17" s="1"/>
    </row>
    <row r="18" spans="1:17" ht="13">
      <c r="A18" s="1">
        <v>560</v>
      </c>
      <c r="B18" s="1" t="s">
        <v>20</v>
      </c>
      <c r="C18" s="1" t="s">
        <v>18</v>
      </c>
      <c r="D18" s="1" t="s">
        <v>21</v>
      </c>
      <c r="E18" s="3">
        <v>12</v>
      </c>
      <c r="F18" s="3">
        <v>8</v>
      </c>
      <c r="G18" s="4">
        <v>45140</v>
      </c>
      <c r="H18" s="4">
        <v>45450</v>
      </c>
      <c r="I18" s="3">
        <v>15</v>
      </c>
      <c r="J18" s="4">
        <v>45450</v>
      </c>
      <c r="K18" s="3">
        <v>1</v>
      </c>
      <c r="L18" s="3">
        <f t="shared" si="0"/>
        <v>14</v>
      </c>
      <c r="M18" s="3">
        <v>16.5</v>
      </c>
      <c r="N18" s="3">
        <v>79.790000000000006</v>
      </c>
      <c r="O18" s="3">
        <v>1422.14</v>
      </c>
      <c r="P18" s="3">
        <f t="shared" si="1"/>
        <v>231</v>
      </c>
      <c r="Q18" s="1"/>
    </row>
    <row r="19" spans="1:17" ht="13">
      <c r="A19" s="1">
        <v>561</v>
      </c>
      <c r="B19" s="1" t="s">
        <v>17</v>
      </c>
      <c r="C19" s="1" t="s">
        <v>18</v>
      </c>
      <c r="D19" s="1" t="s">
        <v>21</v>
      </c>
      <c r="E19" s="3">
        <v>12</v>
      </c>
      <c r="F19" s="3">
        <v>8</v>
      </c>
      <c r="G19" s="4">
        <v>45140</v>
      </c>
      <c r="H19" s="4">
        <v>45450</v>
      </c>
      <c r="I19" s="3">
        <v>15</v>
      </c>
      <c r="J19" s="4">
        <v>45450</v>
      </c>
      <c r="K19" s="3">
        <v>1</v>
      </c>
      <c r="L19" s="3">
        <f t="shared" si="0"/>
        <v>14</v>
      </c>
      <c r="M19" s="3">
        <v>144</v>
      </c>
      <c r="N19" s="3">
        <v>79.790000000000006</v>
      </c>
      <c r="O19" s="3">
        <v>1422.14</v>
      </c>
      <c r="P19" s="3">
        <f t="shared" si="1"/>
        <v>2016</v>
      </c>
      <c r="Q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day12_samples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2024-10-07T23:01:17Z</dcterms:created>
  <dcterms:modified xsi:type="dcterms:W3CDTF">2024-10-07T23:01:17Z</dcterms:modified>
</cp:coreProperties>
</file>